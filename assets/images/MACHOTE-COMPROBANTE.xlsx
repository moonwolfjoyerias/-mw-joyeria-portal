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670"/>
  </bookViews>
  <sheets>
    <sheet name="Comprobante" sheetId="83" r:id="rId1"/>
    <sheet name="FINIQUITO" sheetId="9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<sst xmlns="http://schemas.openxmlformats.org/spreadsheetml/2006/main" count="62" uniqueCount="22">
  <si>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RECIBO DE PAGO</t>
  </si>
  <si>
    <t>MW JOYERIA</t>
  </si>
  <si>
    <t>Inicio de labores:</t>
  </si>
  <si>
    <t>ID EMPLEADO</t>
  </si>
  <si>
    <t>Fecha de pago</t>
  </si>
  <si>
    <t>Metodo de pago</t>
  </si>
  <si>
    <t>FECHA INICIAL:</t>
  </si>
  <si>
    <t>FECHA FINAL:</t>
  </si>
  <si>
    <t>DIAS:</t>
  </si>
  <si>
    <t>TOTAL</t>
  </si>
  <si>
    <t>PERCEPCIONES</t>
  </si>
  <si>
    <t>SUELDO</t>
  </si>
  <si>
    <t>DEDUCIONES</t>
  </si>
  <si>
    <t>Ultimo dia trabajado:</t>
  </si>
  <si>
    <t>Dias Laborados:</t>
  </si>
  <si>
    <t>Periodo del ultimo sueldo:</t>
  </si>
  <si>
    <t>13/08/2026 al 19/08/2026</t>
  </si>
  <si>
    <t>TOTAL FINIQUITO</t>
  </si>
  <si>
    <t>Vacaciones Proporcionales</t>
  </si>
  <si>
    <t xml:space="preserve">Proporcional Pago </t>
  </si>
  <si>
    <t>Aguinaldo Proporcional</t>
  </si>
  <si>
    <t>Monto de prima vacacional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</si>
</sst>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176" formatCode="_ * #,##0.00_ ;_ * \-#,##0.00_ ;_ * &quot;-&quot;??_ ;_ @_ "/>
    <numFmt numFmtId="177" formatCode="_-\$* #,##0.00_-;\-\$* #,##0.00_-;_-\$* &quot;-&quot;??_-;_-@_-"/>
    <numFmt numFmtId="178" formatCode="_ * #,##0_ ;_ * \-#,##0_ ;_ * &quot;-&quot;_ ;_ @_ "/>
    <numFmt numFmtId="179" formatCode="_(\$* #,##0_);_(\$* \(#,##0\);_(\$* &quot;-&quot;_);_(@_)"/>
    <numFmt numFmtId="180" formatCode="d/m/yyyy"/>
    <numFmt numFmtId="181" formatCode="\$#,##0.00"/>
    <numFmt numFmtId="182" formatCode="dd/mm/yyyy;@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C2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180" fontId="0" fillId="0" borderId="0" xfId="0" applyNumberFormat="1" applyAlignment="1">
      <alignment horizontal="left"/>
    </xf>
    <xf numFmtId="0" fontId="3" fillId="0" borderId="0" xfId="6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80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81" fontId="0" fillId="0" borderId="2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2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81" fontId="0" fillId="0" borderId="3" xfId="0" applyNumberFormat="1" applyBorder="1" applyAlignment="1">
      <alignment horizontal="center" vertical="center"/>
    </xf>
    <xf numFmtId="181" fontId="6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6" fillId="0" borderId="4" xfId="0" applyFont="1" applyBorder="1" applyAlignment="1">
      <alignment horizontal="center" vertical="center" wrapText="1"/>
    </xf>
    <xf numFmtId="181" fontId="0" fillId="0" borderId="4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26" fontId="0" fillId="0" borderId="0" xfId="0" applyNumberFormat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182" fontId="0" fillId="0" borderId="0" xfId="0" applyNumberFormat="1" applyAlignment="1">
      <alignment horizontal="left"/>
    </xf>
    <xf numFmtId="180" fontId="0" fillId="0" borderId="0" xfId="1" applyNumberFormat="1" applyAlignment="1">
      <alignment horizontal="left"/>
    </xf>
    <xf numFmtId="180" fontId="0" fillId="2" borderId="1" xfId="1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26" fontId="2" fillId="0" borderId="1" xfId="0" applyNumberFormat="1" applyFont="1" applyBorder="1" applyAlignment="1">
      <alignment horizontal="center" vertical="center"/>
    </xf>
    <xf numFmtId="26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26" fontId="6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ill="1"/>
    <xf numFmtId="0" fontId="2" fillId="0" borderId="0" xfId="0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6" fontId="6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4D2A48"/>
      <color rgb="00A364AA"/>
      <color rgb="00DAC2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17780</xdr:colOff>
      <xdr:row>0</xdr:row>
      <xdr:rowOff>83820</xdr:rowOff>
    </xdr:from>
    <xdr:to>
      <xdr:col>7</xdr:col>
      <xdr:colOff>681355</xdr:colOff>
      <xdr:row>6</xdr:row>
      <xdr:rowOff>111125</xdr:rowOff>
    </xdr:to>
    <xdr:pic>
      <xdr:nvPicPr>
        <xdr:cNvPr id="4" name="Imagen 3" descr="Logo Florista Circular Blanco Negr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94045" y="83820"/>
          <a:ext cx="1121410" cy="1144905"/>
        </a:xfrm>
        <a:prstGeom prst="rect">
          <a:avLst/>
        </a:prstGeom>
      </xdr:spPr>
    </xdr:pic>
    <xdr:clientData/>
  </xdr:twoCellAnchor>
  <xdr:twoCellAnchor editAs="oneCell">
    <xdr:from>
      <xdr:col>5</xdr:col>
      <xdr:colOff>651510</xdr:colOff>
      <xdr:row>28</xdr:row>
      <xdr:rowOff>196850</xdr:rowOff>
    </xdr:from>
    <xdr:to>
      <xdr:col>7</xdr:col>
      <xdr:colOff>648335</xdr:colOff>
      <xdr:row>35</xdr:row>
      <xdr:rowOff>24130</xdr:rowOff>
    </xdr:to>
    <xdr:pic>
      <xdr:nvPicPr>
        <xdr:cNvPr id="6" name="Imagen 5" descr="Logo Florista Circular Blanco Negr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29275" y="5451475"/>
          <a:ext cx="1153160" cy="1138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18415</xdr:colOff>
      <xdr:row>0</xdr:row>
      <xdr:rowOff>70485</xdr:rowOff>
    </xdr:from>
    <xdr:to>
      <xdr:col>7</xdr:col>
      <xdr:colOff>471170</xdr:colOff>
      <xdr:row>6</xdr:row>
      <xdr:rowOff>78740</xdr:rowOff>
    </xdr:to>
    <xdr:pic>
      <xdr:nvPicPr>
        <xdr:cNvPr id="2" name="Imagen 1" descr="Logo Florista Circular Blanco Negr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76570" y="70485"/>
          <a:ext cx="1131570" cy="1125855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</xdr:colOff>
      <xdr:row>28</xdr:row>
      <xdr:rowOff>128905</xdr:rowOff>
    </xdr:from>
    <xdr:to>
      <xdr:col>7</xdr:col>
      <xdr:colOff>469900</xdr:colOff>
      <xdr:row>34</xdr:row>
      <xdr:rowOff>156210</xdr:rowOff>
    </xdr:to>
    <xdr:pic>
      <xdr:nvPicPr>
        <xdr:cNvPr id="3" name="Imagen 2" descr="Logo Florista Circular Blanco Negr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75300" y="5354955"/>
          <a:ext cx="1131570" cy="1144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3"/>
  <sheetViews>
    <sheetView showZeros="0" tabSelected="1" zoomScalePageLayoutView="115" topLeftCell="A25" workbookViewId="0">
      <selection activeCell="D25" sqref="D25"/>
    </sheetView>
  </sheetViews>
  <sheetFormatPr defaultColWidth="11" defaultRowHeight="14.5"/>
  <cols>
    <col min="1" max="1" width="17.8545454545455" customWidth="1"/>
    <col min="2" max="2" width="11.8818181818182" customWidth="1"/>
    <col min="3" max="3" width="16.2181818181818" customWidth="1"/>
    <col min="4" max="4" width="11.8818181818182" customWidth="1"/>
    <col min="5" max="5" width="13.4272727272727" customWidth="1"/>
    <col min="6" max="6" width="10" customWidth="1"/>
    <col min="7" max="7" width="6.55454545454545" customWidth="1"/>
    <col min="8" max="8" width="11" customWidth="1"/>
  </cols>
  <sheetData>
    <row r="1" spans="1:8">
      <c r="B1" s="31" t="s">
        <v>0</v>
      </c>
      <c r="C1" s="31"/>
      <c r="E1" s="31" t="s">
        <v>1</v>
      </c>
      <c r="F1" s="31"/>
      <c r="G1" s="31"/>
    </row>
    <row r="3" ht="15.5" spans="1:8">
      <c r="A3" t="e">
        <f>+#REF!</f>
        <v>#REF!</v>
      </c>
      <c r="B3" s="1"/>
    </row>
    <row r="5" spans="1:8">
      <c r="A5" s="2" t="e">
        <f>VLOOKUP(D6,#REF!,17,FALSE)</f>
        <v>#REF!</v>
      </c>
      <c r="B5" t="e">
        <f>VLOOKUP(D6,#REF!,2,FALSE)</f>
        <v>#REF!</v>
      </c>
    </row>
    <row r="6" spans="1:8">
      <c r="A6" s="2" t="s">
        <v>2</v>
      </c>
      <c r="B6" s="37" t="e">
        <f>VLOOKUP(D6,#REF!,6,FALSE)</f>
        <v>#REF!</v>
      </c>
      <c r="C6" s="2" t="s">
        <v>3</v>
      </c>
      <c r="D6" t="e">
        <f>+#REF!</f>
        <v>#REF!</v>
      </c>
    </row>
    <row r="7" spans="1:8">
      <c r="A7" s="2" t="s">
        <v>4</v>
      </c>
      <c r="B7" s="37" t="e">
        <f>+#REF!</f>
        <v>#REF!</v>
      </c>
      <c r="C7" s="2" t="s">
        <v>5</v>
      </c>
      <c r="D7" s="5" t="e">
        <f>VLOOKUP(D6,#REF!,16,FALSE)</f>
        <v>#REF!</v>
      </c>
    </row>
    <row r="9" ht="15.25"/>
    <row r="10" ht="15.25" spans="1:8">
      <c r="A10" s="8" t="s">
        <v>0</v>
      </c>
      <c r="B10" s="8"/>
      <c r="C10" s="8"/>
      <c r="D10" s="8"/>
      <c r="E10" s="8"/>
      <c r="F10" s="8"/>
      <c r="G10" s="8"/>
      <c r="H10" s="8"/>
    </row>
    <row r="11" ht="15.25" spans="1:8">
      <c r="A11" s="11" t="s">
        <v>6</v>
      </c>
      <c r="B11" s="38" t="e">
        <f>VLOOKUP(D6,#REF!,6,FALSE)</f>
        <v>#REF!</v>
      </c>
      <c r="C11" s="11" t="s">
        <v>7</v>
      </c>
      <c r="D11" s="38" t="e">
        <f>VLOOKUP(D6,#REF!,7,FALSE)</f>
        <v>#REF!</v>
      </c>
      <c r="E11" s="11" t="s">
        <v>8</v>
      </c>
      <c r="F11" s="12" t="e">
        <f>VLOOKUP(D6,#REF!,10,FALSE)</f>
        <v>#REF!</v>
      </c>
      <c r="G11" s="39" t="s">
        <v>9</v>
      </c>
      <c r="H11" s="14" t="e">
        <f>VLOOKUP(D6,#REF!,15,FALSE)</f>
        <v>#REF!</v>
      </c>
    </row>
    <row r="12" ht="15.25" spans="1:8">
      <c r="A12" s="40" t="s">
        <v>10</v>
      </c>
      <c r="B12" s="41"/>
      <c r="C12" s="41"/>
      <c r="D12" s="41"/>
      <c r="E12" s="41"/>
      <c r="F12" s="42"/>
      <c r="G12" s="43"/>
      <c r="H12" s="22"/>
    </row>
    <row r="13" ht="15.25" spans="1:8">
      <c r="A13" s="19" t="s">
        <v>11</v>
      </c>
      <c r="B13" s="44" t="e">
        <f>VLOOKUP(D6,#REF!,11,FALSE)</f>
        <v>#REF!</v>
      </c>
      <c r="C13" s="19" t="e">
        <f>VLOOKUP(D6,#REF!,38,FALSE)</f>
        <v>#REF!</v>
      </c>
      <c r="D13" s="44" t="e">
        <f>VLOOKUP(D6,#REF!,39,FALSE)</f>
        <v>#REF!</v>
      </c>
      <c r="E13" s="19" t="e">
        <f>VLOOKUP(D6,#REF!,21,FALSE)</f>
        <v>#REF!</v>
      </c>
      <c r="F13" s="44" t="e">
        <f>VLOOKUP(D6,#REF!,22,FALSE)</f>
        <v>#REF!</v>
      </c>
      <c r="G13" s="43"/>
      <c r="H13" s="22"/>
    </row>
    <row r="14" ht="15.25" spans="1:8">
      <c r="A14" s="19" t="e">
        <f>VLOOKUP(D6,#REF!,44,FALSE)</f>
        <v>#REF!</v>
      </c>
      <c r="B14" s="45" t="e">
        <f>VLOOKUP(D6,#REF!,47,FALSE)</f>
        <v>#REF!</v>
      </c>
      <c r="C14" s="17" t="e">
        <f>VLOOKUP(D6,#REF!,41,FALSE)</f>
        <v>#REF!</v>
      </c>
      <c r="D14" s="46" t="e">
        <f>VLOOKUP(D6,#REF!,42,FALSE)</f>
        <v>#REF!</v>
      </c>
      <c r="E14" s="19" t="e">
        <f>VLOOKUP(D6,#REF!,19,FALSE)</f>
        <v>#REF!</v>
      </c>
      <c r="F14" s="45" t="e">
        <f>VLOOKUP(D6,#REF!,20,FALSE)</f>
        <v>#REF!</v>
      </c>
      <c r="G14" s="43"/>
      <c r="H14" s="22"/>
    </row>
    <row r="15" ht="15.25" spans="1:8">
      <c r="A15" s="40" t="s">
        <v>12</v>
      </c>
      <c r="B15" s="41"/>
      <c r="C15" s="41"/>
      <c r="D15" s="41"/>
      <c r="E15" s="41"/>
      <c r="F15" s="42"/>
      <c r="G15" s="43"/>
      <c r="H15" s="22"/>
    </row>
    <row r="16" ht="15.25" spans="1:8">
      <c r="A16" s="19" t="e">
        <f>VLOOKUP(D6,#REF!,49,FALSE)</f>
        <v>#REF!</v>
      </c>
      <c r="B16" s="45" t="e">
        <f>VLOOKUP(D6,#REF!,48,FALSE)</f>
        <v>#REF!</v>
      </c>
      <c r="C16" s="47" t="e">
        <f>VLOOKUP(D6,#REF!,53,FALSE)</f>
        <v>#REF!</v>
      </c>
      <c r="D16" s="45" t="e">
        <f>VLOOKUP(D6,#REF!,52,FALSE)</f>
        <v>#REF!</v>
      </c>
      <c r="E16" s="47" t="e">
        <f>VLOOKUP(D6,#REF!,51,FALSE)</f>
        <v>#REF!</v>
      </c>
      <c r="F16" s="45" t="e">
        <f>VLOOKUP(D6,#REF!,50,FALSE)</f>
        <v>#REF!</v>
      </c>
      <c r="G16" s="43"/>
      <c r="H16" s="22"/>
    </row>
    <row r="17" ht="15.25" spans="1:8">
      <c r="A17" s="19" t="e">
        <f>VLOOKUP(D6,#REF!,56,FALSE)</f>
        <v>#REF!</v>
      </c>
      <c r="B17" s="45" t="e">
        <f>VLOOKUP(D6,#REF!,54,FALSE)</f>
        <v>#REF!</v>
      </c>
      <c r="C17" s="47" t="e">
        <f>VLOOKUP(D6,#REF!,58,FALSE)</f>
        <v>#REF!</v>
      </c>
      <c r="D17" s="45" t="e">
        <f>VLOOKUP(D6,#REF!,57,FALSE)</f>
        <v>#REF!</v>
      </c>
      <c r="E17" s="47" t="e">
        <f>VLOOKUP(D6,#REF!,60,FALSE)</f>
        <v>#REF!</v>
      </c>
      <c r="F17" s="48" t="e">
        <f>VLOOKUP(D6,#REF!,59,FALSE)</f>
        <v>#REF!</v>
      </c>
      <c r="G17" s="49"/>
      <c r="H17" s="30"/>
    </row>
    <row r="19" spans="1:8">
      <c r="A19" t="e">
        <f>+#REF!</f>
        <v>#REF!</v>
      </c>
    </row>
    <row r="20" spans="1:8">
      <c r="A20" t="e">
        <f>+#REF!</f>
        <v>#REF!</v>
      </c>
    </row>
    <row r="23" spans="1:8">
      <c r="B23" s="33"/>
      <c r="C23" s="33"/>
      <c r="D23" s="33"/>
      <c r="E23" s="33"/>
      <c r="F23" s="33"/>
    </row>
    <row r="24" spans="1:8">
      <c r="A24" s="6" t="e">
        <f>+#REF!</f>
        <v>#REF!</v>
      </c>
      <c r="B24" s="6"/>
      <c r="C24" s="6"/>
      <c r="D24" s="6"/>
      <c r="E24" s="6"/>
      <c r="F24" s="6"/>
      <c r="G24" s="6"/>
      <c r="H24" s="6"/>
    </row>
    <row r="27" spans="1:8">
      <c r="A27" t="e">
        <f>+#REF!</f>
        <v>#REF!</v>
      </c>
    </row>
    <row r="29" ht="15.5" spans="1:8">
      <c r="A29" t="e">
        <f>+#REF!</f>
        <v>#REF!</v>
      </c>
      <c r="B29" s="1"/>
    </row>
    <row r="31" spans="1:8">
      <c r="A31" s="2" t="e">
        <f>VLOOKUP(D32,#REF!,17,FALSE)</f>
        <v>#REF!</v>
      </c>
      <c r="B31" t="e">
        <f>VLOOKUP(D32,#REF!,2,FALSE)</f>
        <v>#REF!</v>
      </c>
    </row>
    <row r="32" spans="1:8">
      <c r="A32" s="2" t="s">
        <v>2</v>
      </c>
      <c r="B32" s="37" t="e">
        <f>VLOOKUP(D32,#REF!,6,FALSE)</f>
        <v>#REF!</v>
      </c>
      <c r="C32" s="2" t="s">
        <v>3</v>
      </c>
      <c r="D32" t="e">
        <f>+D6</f>
        <v>#REF!</v>
      </c>
    </row>
    <row r="33" spans="1:10">
      <c r="A33" s="2" t="s">
        <v>4</v>
      </c>
      <c r="B33" s="37" t="e">
        <f>+#REF!</f>
        <v>#REF!</v>
      </c>
      <c r="C33" s="2" t="s">
        <v>5</v>
      </c>
      <c r="D33" s="5" t="e">
        <f>VLOOKUP(D32,#REF!,16,FALSE)</f>
        <v>#REF!</v>
      </c>
    </row>
    <row r="35" ht="15.25" spans="1:10">
      <c r="J35" s="50"/>
    </row>
    <row r="36" ht="15.25" spans="1:10">
      <c r="A36" s="8" t="s">
        <v>0</v>
      </c>
      <c r="B36" s="8"/>
      <c r="C36" s="8"/>
      <c r="D36" s="8"/>
      <c r="E36" s="8"/>
      <c r="F36" s="8"/>
      <c r="G36" s="8"/>
      <c r="H36" s="8"/>
    </row>
    <row r="37" ht="15.25" spans="1:10">
      <c r="A37" s="11" t="s">
        <v>6</v>
      </c>
      <c r="B37" s="38" t="e">
        <f>VLOOKUP(D32,#REF!,6,FALSE)</f>
        <v>#REF!</v>
      </c>
      <c r="C37" s="11" t="s">
        <v>7</v>
      </c>
      <c r="D37" s="38" t="e">
        <f>VLOOKUP(D32,#REF!,7,FALSE)</f>
        <v>#REF!</v>
      </c>
      <c r="E37" s="11" t="s">
        <v>8</v>
      </c>
      <c r="F37" s="12" t="e">
        <f>VLOOKUP(D32,#REF!,10,FALSE)</f>
        <v>#REF!</v>
      </c>
      <c r="G37" s="39" t="s">
        <v>9</v>
      </c>
      <c r="H37" s="14" t="e">
        <f>VLOOKUP(D32,#REF!,15,FALSE)</f>
        <v>#REF!</v>
      </c>
    </row>
    <row r="38" ht="15.25" spans="1:10">
      <c r="A38" s="40" t="s">
        <v>10</v>
      </c>
      <c r="B38" s="41"/>
      <c r="C38" s="41"/>
      <c r="D38" s="41"/>
      <c r="E38" s="41"/>
      <c r="F38" s="42"/>
      <c r="G38" s="43"/>
      <c r="H38" s="22"/>
    </row>
    <row r="39" ht="15.25" spans="1:10">
      <c r="A39" s="19" t="s">
        <v>11</v>
      </c>
      <c r="B39" s="44" t="e">
        <f>VLOOKUP(D32,#REF!,11,FALSE)</f>
        <v>#REF!</v>
      </c>
      <c r="C39" s="19" t="e">
        <f>VLOOKUP(D32,#REF!,38,FALSE)</f>
        <v>#REF!</v>
      </c>
      <c r="D39" s="44" t="e">
        <f>VLOOKUP(D32,#REF!,39,FALSE)</f>
        <v>#REF!</v>
      </c>
      <c r="E39" s="19" t="e">
        <f>VLOOKUP(D32,#REF!,21,FALSE)</f>
        <v>#REF!</v>
      </c>
      <c r="F39" s="44" t="e">
        <f>VLOOKUP(D32,#REF!,22,FALSE)</f>
        <v>#REF!</v>
      </c>
      <c r="G39" s="43"/>
      <c r="H39" s="22"/>
    </row>
    <row r="40" ht="15.25" spans="1:10">
      <c r="A40" s="19" t="e">
        <f>VLOOKUP(D32,#REF!,44,FALSE)</f>
        <v>#REF!</v>
      </c>
      <c r="B40" s="45" t="e">
        <f>VLOOKUP(D32,#REF!,47,FALSE)</f>
        <v>#REF!</v>
      </c>
      <c r="C40" s="17" t="e">
        <f>VLOOKUP(D32,#REF!,41,FALSE)</f>
        <v>#REF!</v>
      </c>
      <c r="D40" s="46" t="e">
        <f>VLOOKUP(D32,#REF!,42,FALSE)</f>
        <v>#REF!</v>
      </c>
      <c r="E40" s="19" t="e">
        <f>VLOOKUP(D32,#REF!,19,FALSE)</f>
        <v>#REF!</v>
      </c>
      <c r="F40" s="45" t="e">
        <f>VLOOKUP(D32,#REF!,20,FALSE)</f>
        <v>#REF!</v>
      </c>
      <c r="G40" s="43"/>
      <c r="H40" s="22"/>
    </row>
    <row r="41" ht="15.25" spans="1:10">
      <c r="A41" s="40" t="s">
        <v>12</v>
      </c>
      <c r="B41" s="41"/>
      <c r="C41" s="41"/>
      <c r="D41" s="41"/>
      <c r="E41" s="41"/>
      <c r="F41" s="42"/>
      <c r="G41" s="43"/>
      <c r="H41" s="22"/>
    </row>
    <row r="42" ht="15.25" spans="1:10">
      <c r="A42" s="19" t="e">
        <f>VLOOKUP(D32,#REF!,49,FALSE)</f>
        <v>#REF!</v>
      </c>
      <c r="B42" s="45" t="e">
        <f>VLOOKUP(D32,#REF!,48,FALSE)</f>
        <v>#REF!</v>
      </c>
      <c r="C42" s="47" t="e">
        <f>VLOOKUP(D32,#REF!,53,FALSE)</f>
        <v>#REF!</v>
      </c>
      <c r="D42" s="45" t="e">
        <f>VLOOKUP(D32,#REF!,52,FALSE)</f>
        <v>#REF!</v>
      </c>
      <c r="E42" s="47" t="e">
        <f>VLOOKUP(D32,#REF!,51,FALSE)</f>
        <v>#REF!</v>
      </c>
      <c r="F42" s="45" t="e">
        <f>VLOOKUP(D32,#REF!,50,FALSE)</f>
        <v>#REF!</v>
      </c>
      <c r="G42" s="43"/>
      <c r="H42" s="22"/>
    </row>
    <row r="43" ht="15.25" spans="1:10">
      <c r="A43" s="19" t="e">
        <f>VLOOKUP(D32,#REF!,56,FALSE)</f>
        <v>#REF!</v>
      </c>
      <c r="B43" s="45" t="e">
        <f>VLOOKUP(D32,#REF!,54,FALSE)</f>
        <v>#REF!</v>
      </c>
      <c r="C43" s="47" t="e">
        <f>VLOOKUP(D32,#REF!,58,FALSE)</f>
        <v>#REF!</v>
      </c>
      <c r="D43" s="45" t="e">
        <f>VLOOKUP(D32,#REF!,57,FALSE)</f>
        <v>#REF!</v>
      </c>
      <c r="E43" s="47" t="e">
        <f>VLOOKUP(D32,#REF!,60,FALSE)</f>
        <v>#REF!</v>
      </c>
      <c r="F43" s="48" t="e">
        <f>VLOOKUP(D32,#REF!,59,FALSE)</f>
        <v>#REF!</v>
      </c>
      <c r="G43" s="49"/>
      <c r="H43" s="30"/>
    </row>
    <row r="44" spans="1:10">
      <c r="A44" s="51"/>
      <c r="B44" s="52"/>
      <c r="C44" s="53"/>
      <c r="D44" s="52"/>
      <c r="E44" s="53"/>
      <c r="F44" s="54"/>
      <c r="G44" s="51"/>
      <c r="H44" s="55"/>
    </row>
    <row r="45" spans="1:10">
      <c r="A45" t="e">
        <f>+#REF!</f>
        <v>#REF!</v>
      </c>
    </row>
    <row r="46" spans="1:10">
      <c r="A46" t="e">
        <f>+#REF!</f>
        <v>#REF!</v>
      </c>
    </row>
    <row r="49" spans="1:8">
      <c r="B49" s="33"/>
      <c r="C49" s="33"/>
      <c r="D49" s="33"/>
      <c r="E49" s="33"/>
      <c r="F49" s="33"/>
    </row>
    <row r="50" spans="1:8">
      <c r="A50" s="6" t="e">
        <f>+#REF!</f>
        <v>#REF!</v>
      </c>
      <c r="B50" s="6"/>
      <c r="C50" s="6"/>
      <c r="D50" s="6"/>
      <c r="E50" s="6"/>
      <c r="F50" s="6"/>
      <c r="G50" s="6"/>
      <c r="H50" s="6"/>
    </row>
    <row r="53" spans="1:8">
      <c r="A53" t="e">
        <f>+#REF!</f>
        <v>#REF!</v>
      </c>
    </row>
  </sheetData>
  <mergeCells count="14">
    <mergeCell ref="B1:C1"/>
    <mergeCell ref="E1:G1"/>
    <mergeCell ref="A10:H10"/>
    <mergeCell ref="A12:F12"/>
    <mergeCell ref="A15:F15"/>
    <mergeCell ref="A24:H24"/>
    <mergeCell ref="A36:H36"/>
    <mergeCell ref="A38:F38"/>
    <mergeCell ref="A41:F41"/>
    <mergeCell ref="A50:H50"/>
    <mergeCell ref="G11:G17"/>
    <mergeCell ref="G37:G43"/>
    <mergeCell ref="H11:H17"/>
    <mergeCell ref="H37:H43"/>
  </mergeCells>
  <printOptions horizontalCentered="1" verticalCentered="1"/>
  <pageMargins left="0.25" right="0.25" top="0.75" bottom="0.75" header="0.298611111111111" footer="0.298611111111111"/>
  <pageSetup paperSize="1" scale="90" orientation="portrait" horizontalDpi="600" verticalDpi="203"/>
  <headerFooter>
    <oddHeader>&amp;CRECIBO DE PAGO
&amp;R&amp;12MW JOYERIA                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0"/>
  <sheetViews>
    <sheetView workbookViewId="0">
      <selection activeCell="F38" sqref="F38"/>
    </sheetView>
  </sheetViews>
  <sheetFormatPr defaultColWidth="9.14545454545454" defaultRowHeight="14.5"/>
  <cols>
    <col min="1" max="1" width="19.4272727272727" customWidth="1"/>
    <col min="2" max="2" width="11.4272727272727"/>
    <col min="3" max="3" width="17.5727272727273" customWidth="1"/>
    <col min="4" max="4" width="12.8545454545455"/>
    <col min="7" max="7" width="9.71818181818182" customWidth="1"/>
    <col min="8" max="8" width="9.71818181818182"/>
    <col min="13" max="13" width="10" customWidth="1"/>
    <col min="14" max="14" width="22.1454545454545" customWidth="1"/>
    <col min="15" max="15" width="12.8545454545455"/>
    <col min="18" max="19" width="12.8545454545455"/>
  </cols>
  <sheetData>
    <row r="1" ht="15.5" spans="1:14">
      <c r="A1" t="e">
        <f>+#REF!</f>
        <v>#REF!</v>
      </c>
      <c r="B1" s="1"/>
    </row>
    <row r="3" spans="1:14">
      <c r="A3" s="2" t="e">
        <f>VLOOKUP(D4,#REF!,17,FALSE)</f>
        <v>#REF!</v>
      </c>
      <c r="B3" t="e">
        <f>VLOOKUP(D4,#REF!,2,FALSE)</f>
        <v>#REF!</v>
      </c>
    </row>
    <row r="4" spans="1:14">
      <c r="A4" s="2" t="s">
        <v>2</v>
      </c>
      <c r="B4" s="3" t="e">
        <f>#REF!</f>
        <v>#REF!</v>
      </c>
      <c r="C4" s="2" t="s">
        <v>3</v>
      </c>
      <c r="D4" t="e">
        <f>#REF!</f>
        <v>#REF!</v>
      </c>
      <c r="F4" s="4"/>
    </row>
    <row r="5" spans="1:14">
      <c r="A5" s="2" t="s">
        <v>13</v>
      </c>
      <c r="B5" s="3" t="e">
        <f>+#REF!</f>
        <v>#REF!</v>
      </c>
      <c r="C5" s="2" t="s">
        <v>5</v>
      </c>
      <c r="D5" s="5" t="e">
        <f>VLOOKUP(D4,#REF!,16,FALSE)</f>
        <v>#REF!</v>
      </c>
    </row>
    <row r="6" spans="1:14">
      <c r="A6" s="2" t="s">
        <v>14</v>
      </c>
      <c r="B6" s="6" t="e">
        <f>#REF!-#REF!+1</f>
        <v>#REF!</v>
      </c>
      <c r="C6" s="7" t="s">
        <v>15</v>
      </c>
      <c r="D6" t="s">
        <v>16</v>
      </c>
    </row>
    <row r="7" ht="15.25"/>
    <row r="8" ht="15.25" spans="1:14">
      <c r="A8" s="8"/>
      <c r="B8" s="8"/>
      <c r="C8" s="8"/>
      <c r="D8" s="8"/>
      <c r="E8" s="8"/>
      <c r="F8" s="8"/>
      <c r="G8" s="8"/>
      <c r="H8" s="8"/>
    </row>
    <row r="9" ht="15.25" spans="1:14">
      <c r="A9" s="9" t="s">
        <v>6</v>
      </c>
      <c r="B9" s="10" t="e">
        <f>B4</f>
        <v>#REF!</v>
      </c>
      <c r="C9" s="9" t="s">
        <v>7</v>
      </c>
      <c r="D9" s="10" t="e">
        <f>VLOOKUP(D4,#REF!,7,FALSE)</f>
        <v>#REF!</v>
      </c>
      <c r="E9" s="11" t="s">
        <v>8</v>
      </c>
      <c r="F9" s="12" t="e">
        <f>VLOOKUP(D4,#REF!,10,FALSE)</f>
        <v>#REF!</v>
      </c>
      <c r="G9" s="13" t="s">
        <v>17</v>
      </c>
      <c r="H9" s="14" t="e">
        <f>D10+D11+D12</f>
        <v>#REF!</v>
      </c>
    </row>
    <row r="10" ht="15.25" spans="1:14">
      <c r="A10" s="15" t="s">
        <v>18</v>
      </c>
      <c r="B10" s="16">
        <v>2.56</v>
      </c>
      <c r="C10" s="17" t="s">
        <v>19</v>
      </c>
      <c r="D10" s="18" t="e">
        <f>B10*#REF!</f>
        <v>#REF!</v>
      </c>
      <c r="E10" s="19" t="e">
        <f>VLOOKUP(D4,#REF!,21,FALSE)</f>
        <v>#REF!</v>
      </c>
      <c r="F10" s="20" t="e">
        <f>VLOOKUP(D4,#REF!,22,FALSE)</f>
        <v>#REF!</v>
      </c>
      <c r="G10" s="21"/>
      <c r="H10" s="22"/>
    </row>
    <row r="11" ht="15.25" spans="1:14">
      <c r="A11" s="23" t="s">
        <v>20</v>
      </c>
      <c r="B11" s="24">
        <v>3.21</v>
      </c>
      <c r="C11" s="17" t="s">
        <v>19</v>
      </c>
      <c r="D11" s="20" t="e">
        <f>B11*#REF!</f>
        <v>#REF!</v>
      </c>
      <c r="E11" s="25"/>
      <c r="F11" s="25"/>
      <c r="G11" s="21"/>
      <c r="H11" s="22"/>
    </row>
    <row r="12" ht="15.25" spans="1:14">
      <c r="A12" s="26" t="s">
        <v>21</v>
      </c>
      <c r="B12" s="27">
        <v>0.64</v>
      </c>
      <c r="C12" s="17" t="s">
        <v>19</v>
      </c>
      <c r="D12" s="18" t="e">
        <f>B12*#REF!</f>
        <v>#REF!</v>
      </c>
      <c r="E12" s="28"/>
      <c r="F12" s="28"/>
      <c r="G12" s="29"/>
      <c r="H12" s="30"/>
    </row>
    <row r="13" spans="1:14">
      <c r="A13" s="31"/>
      <c r="B13" s="32"/>
      <c r="N13" s="2"/>
    </row>
    <row r="14" spans="1:14">
      <c r="A14" t="e">
        <f>+#REF!</f>
        <v>#REF!</v>
      </c>
      <c r="N14" s="2"/>
    </row>
    <row r="15" spans="1:14">
      <c r="A15" t="e">
        <f>+#REF!</f>
        <v>#REF!</v>
      </c>
      <c r="N15" s="2"/>
    </row>
    <row r="20" spans="1:8">
      <c r="B20" s="33"/>
      <c r="C20" s="33"/>
      <c r="D20" s="33"/>
      <c r="E20" s="33"/>
      <c r="F20" s="33"/>
    </row>
    <row r="21" spans="1:8">
      <c r="A21" s="6" t="e">
        <f>+#REF!</f>
        <v>#REF!</v>
      </c>
      <c r="B21" s="6"/>
      <c r="C21" s="6"/>
      <c r="D21" s="6"/>
      <c r="E21" s="6"/>
      <c r="F21" s="6"/>
      <c r="G21" s="6"/>
      <c r="H21" s="6"/>
    </row>
    <row r="24" spans="1:8">
      <c r="A24" t="e">
        <f>+#REF!</f>
        <v>#REF!</v>
      </c>
    </row>
    <row r="25" spans="1:8">
      <c r="A25" s="34"/>
      <c r="B25" s="34"/>
      <c r="C25" s="34"/>
      <c r="D25" s="34"/>
      <c r="E25" s="34"/>
      <c r="F25" s="34"/>
      <c r="G25" s="34"/>
      <c r="H25" s="34"/>
    </row>
    <row r="26" spans="1:8">
      <c r="C26" s="35"/>
      <c r="D26" s="35"/>
      <c r="F26" s="35"/>
      <c r="G26" s="35"/>
      <c r="H26" s="35"/>
    </row>
    <row r="27" spans="1:8">
      <c r="C27" s="31" t="s">
        <v>0</v>
      </c>
      <c r="D27" s="31"/>
      <c r="F27" s="31" t="s">
        <v>1</v>
      </c>
      <c r="G27" s="31"/>
      <c r="H27" s="31"/>
    </row>
    <row r="29" ht="15.5" spans="1:8">
      <c r="A29" t="e">
        <f>+#REF!</f>
        <v>#REF!</v>
      </c>
      <c r="B29" s="1"/>
    </row>
    <row r="31" spans="1:8">
      <c r="A31" s="2" t="e">
        <f>VLOOKUP(D32,#REF!,17,FALSE)</f>
        <v>#REF!</v>
      </c>
      <c r="B31" t="e">
        <f>VLOOKUP(D32,#REF!,2,FALSE)</f>
        <v>#REF!</v>
      </c>
    </row>
    <row r="32" spans="1:8">
      <c r="A32" s="2" t="s">
        <v>2</v>
      </c>
      <c r="B32" s="3" t="e">
        <f>#REF!</f>
        <v>#REF!</v>
      </c>
      <c r="C32" s="2" t="s">
        <v>3</v>
      </c>
      <c r="F32" s="4"/>
    </row>
    <row r="33" spans="1:8">
      <c r="A33" s="2" t="s">
        <v>13</v>
      </c>
      <c r="B33" s="36" t="e">
        <f>+#REF!</f>
        <v>#REF!</v>
      </c>
      <c r="C33" s="2" t="s">
        <v>5</v>
      </c>
      <c r="D33" s="5" t="e">
        <f>VLOOKUP(D32,#REF!,16,FALSE)</f>
        <v>#REF!</v>
      </c>
    </row>
    <row r="34" spans="1:8">
      <c r="A34" s="2" t="s">
        <v>14</v>
      </c>
      <c r="B34" s="6" t="e">
        <f>#REF!-#REF!+1</f>
        <v>#REF!</v>
      </c>
      <c r="C34" s="7" t="s">
        <v>15</v>
      </c>
      <c r="D34" t="s">
        <v>16</v>
      </c>
    </row>
    <row r="35" ht="15.25"/>
    <row r="36" ht="15.25" spans="1:8">
      <c r="A36" s="8"/>
      <c r="B36" s="8"/>
      <c r="C36" s="8"/>
      <c r="D36" s="8"/>
      <c r="E36" s="8"/>
      <c r="F36" s="8"/>
      <c r="G36" s="8"/>
      <c r="H36" s="8"/>
    </row>
    <row r="37" ht="15.25" spans="1:8">
      <c r="A37" s="9" t="s">
        <v>6</v>
      </c>
      <c r="B37" s="10" t="e">
        <f>B32</f>
        <v>#REF!</v>
      </c>
      <c r="C37" s="9" t="s">
        <v>7</v>
      </c>
      <c r="D37" s="10" t="e">
        <f>VLOOKUP(D32,#REF!,7,FALSE)</f>
        <v>#REF!</v>
      </c>
      <c r="E37" s="11" t="s">
        <v>8</v>
      </c>
      <c r="F37" s="12" t="e">
        <f>VLOOKUP(D32,#REF!,10,FALSE)</f>
        <v>#REF!</v>
      </c>
      <c r="G37" s="13" t="s">
        <v>17</v>
      </c>
      <c r="H37" s="14" t="e">
        <f>D38+D39+D40</f>
        <v>#REF!</v>
      </c>
    </row>
    <row r="38" ht="15.25" spans="1:8">
      <c r="A38" s="15" t="s">
        <v>18</v>
      </c>
      <c r="B38" s="16">
        <v>2.56</v>
      </c>
      <c r="C38" s="17" t="s">
        <v>19</v>
      </c>
      <c r="D38" s="18" t="e">
        <f>B38*#REF!</f>
        <v>#REF!</v>
      </c>
      <c r="E38" s="19" t="e">
        <f>VLOOKUP(D32,#REF!,21,FALSE)</f>
        <v>#REF!</v>
      </c>
      <c r="F38" s="20" t="e">
        <f>VLOOKUP(D32,#REF!,22,FALSE)</f>
        <v>#REF!</v>
      </c>
      <c r="G38" s="21"/>
      <c r="H38" s="22"/>
    </row>
    <row r="39" ht="15.25" spans="1:8">
      <c r="A39" s="23" t="s">
        <v>20</v>
      </c>
      <c r="B39" s="24">
        <v>3.21</v>
      </c>
      <c r="C39" s="17" t="s">
        <v>19</v>
      </c>
      <c r="D39" s="20" t="e">
        <f>B39*#REF!</f>
        <v>#REF!</v>
      </c>
      <c r="E39" s="25"/>
      <c r="F39" s="25"/>
      <c r="G39" s="21"/>
      <c r="H39" s="22"/>
    </row>
    <row r="40" ht="15.25" spans="1:8">
      <c r="A40" s="26" t="s">
        <v>21</v>
      </c>
      <c r="B40" s="27">
        <v>0.64</v>
      </c>
      <c r="C40" s="17" t="s">
        <v>19</v>
      </c>
      <c r="D40" s="18" t="e">
        <f>B40*#REF!</f>
        <v>#REF!</v>
      </c>
      <c r="E40" s="28"/>
      <c r="F40" s="28"/>
      <c r="G40" s="29"/>
      <c r="H40" s="30"/>
    </row>
    <row r="41" spans="1:8">
      <c r="A41" s="31"/>
      <c r="B41" s="32"/>
    </row>
    <row r="42" spans="1:8">
      <c r="A42" t="e">
        <f>+#REF!</f>
        <v>#REF!</v>
      </c>
    </row>
    <row r="43" spans="1:8">
      <c r="A43" t="e">
        <f>+#REF!</f>
        <v>#REF!</v>
      </c>
    </row>
    <row r="46" spans="1:8">
      <c r="B46" s="33"/>
      <c r="C46" s="33"/>
      <c r="D46" s="33"/>
      <c r="E46" s="33"/>
      <c r="F46" s="33"/>
    </row>
    <row r="47" spans="1:8">
      <c r="A47" s="6" t="e">
        <f>+#REF!</f>
        <v>#REF!</v>
      </c>
      <c r="B47" s="6"/>
      <c r="C47" s="6"/>
      <c r="D47" s="6"/>
      <c r="E47" s="6"/>
      <c r="F47" s="6"/>
      <c r="G47" s="6"/>
      <c r="H47" s="6"/>
    </row>
    <row r="50" spans="1:1">
      <c r="A50" t="e">
        <f>+#REF!</f>
        <v>#REF!</v>
      </c>
    </row>
  </sheetData>
  <mergeCells count="10">
    <mergeCell ref="A8:H8"/>
    <mergeCell ref="A21:H21"/>
    <mergeCell ref="C27:D27"/>
    <mergeCell ref="F27:H27"/>
    <mergeCell ref="A36:H36"/>
    <mergeCell ref="A47:H47"/>
    <mergeCell ref="G9:G12"/>
    <mergeCell ref="G37:G40"/>
    <mergeCell ref="H9:H12"/>
    <mergeCell ref="H37:H40"/>
  </mergeCells>
  <printOptions horizontalCentered="1" verticalCentered="1"/>
  <pageMargins left="0.25" right="0.25" top="0.75" bottom="0.75" header="0.298611111111111" footer="0.298611111111111"/>
  <pageSetup paperSize="1" scale="93" fitToWidth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Comprobante</vt:lpstr>
      <vt:lpstr>FINIQUITO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elipz</cp:lastModifiedBy>
  <dcterms:created xsi:type="dcterms:W3CDTF">2026-06-18T23:36:00Z</dcterms:created>
  <cp:lastPrinted>2026-07-03T22:54:00Z</cp:lastPrinted>
  <dcterms:modified xsi:type="dcterms:W3CDTF">2026-09-07T20:37:30Z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AA3923F4B4AF44329AE1DEF01C7E296A_13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